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FXY\OMG\GAL\GAL 代码\wet-lab data\"/>
    </mc:Choice>
  </mc:AlternateContent>
  <xr:revisionPtr revIDLastSave="0" documentId="13_ncr:1_{BE1F59C6-3F22-492F-9853-6DBDD9373B2E}" xr6:coauthVersionLast="36" xr6:coauthVersionMax="36" xr10:uidLastSave="{00000000-0000-0000-0000-000000000000}"/>
  <bookViews>
    <workbookView xWindow="0" yWindow="0" windowWidth="18360" windowHeight="80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R44" i="1" l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29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O21" i="1"/>
  <c r="N21" i="1"/>
  <c r="M21" i="1"/>
  <c r="L21" i="1"/>
  <c r="K21" i="1"/>
  <c r="J21" i="1"/>
  <c r="C21" i="1"/>
  <c r="B21" i="1"/>
  <c r="A21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</calcChain>
</file>

<file path=xl/sharedStrings.xml><?xml version="1.0" encoding="utf-8"?>
<sst xmlns="http://schemas.openxmlformats.org/spreadsheetml/2006/main" count="116" uniqueCount="68">
  <si>
    <t>序列</t>
  </si>
  <si>
    <t>CCACAA</t>
  </si>
  <si>
    <t>C7-C9</t>
  </si>
  <si>
    <t>CCACAAA</t>
  </si>
  <si>
    <t>D10-D12</t>
  </si>
  <si>
    <t>CCACAAAA</t>
  </si>
  <si>
    <t>F1-F3</t>
  </si>
  <si>
    <t>CCACTT</t>
  </si>
  <si>
    <t>C4-C6</t>
  </si>
  <si>
    <t>CCACTTT</t>
  </si>
  <si>
    <t>A1-A3</t>
  </si>
  <si>
    <t>1721379.92565056</t>
  </si>
  <si>
    <t>CCACTTTT</t>
  </si>
  <si>
    <t>E10-E12</t>
  </si>
  <si>
    <t>CCACAT</t>
  </si>
  <si>
    <t>B10-B12</t>
  </si>
  <si>
    <t>CCACAAT</t>
  </si>
  <si>
    <t>D1-D3</t>
  </si>
  <si>
    <t>1633317.07317073</t>
  </si>
  <si>
    <t>1555286.63967611</t>
  </si>
  <si>
    <t>1536339.45686901</t>
  </si>
  <si>
    <t>CCACATTT</t>
  </si>
  <si>
    <t>A4-A6</t>
  </si>
  <si>
    <t>CCACTA</t>
  </si>
  <si>
    <t>C1-C3</t>
  </si>
  <si>
    <t>CCACATT</t>
  </si>
  <si>
    <t>E1-E3</t>
  </si>
  <si>
    <t>1659187.026116259</t>
  </si>
  <si>
    <t>1715599.82788296</t>
  </si>
  <si>
    <t>1749654.0673788</t>
  </si>
  <si>
    <t>CCACAATT</t>
  </si>
  <si>
    <t>F4-F6</t>
  </si>
  <si>
    <t>CCACTTA</t>
  </si>
  <si>
    <t>D4-D6</t>
  </si>
  <si>
    <t>CCACAAAT</t>
  </si>
  <si>
    <t>E4-E6</t>
  </si>
  <si>
    <t>CCACTAA</t>
  </si>
  <si>
    <t>C10-C12</t>
  </si>
  <si>
    <t>CCACTAAA</t>
  </si>
  <si>
    <t>E7-E9</t>
  </si>
  <si>
    <r>
      <rPr>
        <sz val="11"/>
        <rFont val="宋体"/>
        <family val="3"/>
        <charset val="134"/>
        <scheme val="minor"/>
      </rPr>
      <t>CCAC</t>
    </r>
    <r>
      <rPr>
        <sz val="11"/>
        <color theme="1"/>
        <rFont val="宋体"/>
        <family val="3"/>
        <charset val="134"/>
        <scheme val="minor"/>
      </rPr>
      <t>AAA</t>
    </r>
  </si>
  <si>
    <t>AACCACA</t>
  </si>
  <si>
    <t>B7-B9</t>
  </si>
  <si>
    <t>AAACCAC</t>
  </si>
  <si>
    <t>H1-H3</t>
  </si>
  <si>
    <t>TTCCACT</t>
  </si>
  <si>
    <t>F10-F12</t>
  </si>
  <si>
    <t>TTTCCAC</t>
  </si>
  <si>
    <t>G4-G6</t>
  </si>
  <si>
    <t>ATCCACA</t>
  </si>
  <si>
    <t>B1-B3</t>
  </si>
  <si>
    <t>AATCCAC</t>
  </si>
  <si>
    <t>A7-A9</t>
  </si>
  <si>
    <t>TACCACT</t>
  </si>
  <si>
    <t>G1-G3</t>
  </si>
  <si>
    <t>ATTCCAC</t>
  </si>
  <si>
    <t>A10-A12</t>
  </si>
  <si>
    <t>AACCACT</t>
  </si>
  <si>
    <t>B4-B6</t>
  </si>
  <si>
    <t>ATACCAC</t>
  </si>
  <si>
    <t>G7-G9</t>
  </si>
  <si>
    <t>TTCCACA</t>
  </si>
  <si>
    <t>F7-F9</t>
  </si>
  <si>
    <t>TTACCAC</t>
  </si>
  <si>
    <t>G10-G12</t>
  </si>
  <si>
    <t>ACACACA</t>
  </si>
  <si>
    <t>CACACA</t>
    <phoneticPr fontId="5" type="noConversion"/>
  </si>
  <si>
    <t>AACACACA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</si>
</sst>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79" formatCode="0_ "/>
  </numFmts>
  <fonts count="6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rgb="FF000000"/>
      <name val="Arial"/>
      <family val="2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78" fontId="0" fillId="0" borderId="0" xfId="0" applyNumberForma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179" fontId="0" fillId="0" borderId="0" xfId="0" applyNumberFormat="1" applyAlignment="1">
      <alignment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1" fillId="0" borderId="0" xfId="0" quotePrefix="1" applyFont="1" applyAlignment="1">
      <alignment vertical="center"/>
    </xf>
    <xf numFmtId="0" fontId="0" fillId="0" borderId="0" xfId="0" quotePrefix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R57"/>
  <sheetViews>
    <sheetView tabSelected="1" topLeftCell="A4" workbookViewId="0">
      <selection activeCell="G24" sqref="G24"/>
    </sheetView>
  </sheetViews>
  <sheetFormatPr defaultColWidth="9" defaultRowHeight="14" x14ac:dyDescent="0.25"/>
  <cols>
    <col min="1" max="1" width="15.1796875"/>
    <col min="3" max="5" width="12.81640625"/>
    <col min="7" max="7" width="12.81640625"/>
    <col min="9" max="9" width="12.90625"/>
  </cols>
  <sheetData>
    <row r="5" spans="1:16" x14ac:dyDescent="0.25">
      <c r="B5" t="s">
        <v>0</v>
      </c>
      <c r="G5" t="s">
        <v>0</v>
      </c>
      <c r="L5" t="s">
        <v>0</v>
      </c>
    </row>
    <row r="6" spans="1:16" x14ac:dyDescent="0.25">
      <c r="B6" s="1" t="s">
        <v>1</v>
      </c>
      <c r="C6" s="2" t="s">
        <v>2</v>
      </c>
      <c r="D6">
        <v>1704416.8937329701</v>
      </c>
      <c r="E6">
        <v>1633286.4</v>
      </c>
      <c r="F6">
        <v>1558046.0624071299</v>
      </c>
      <c r="G6" s="1" t="s">
        <v>3</v>
      </c>
      <c r="H6" s="3" t="s">
        <v>4</v>
      </c>
      <c r="I6">
        <v>1716200</v>
      </c>
      <c r="J6">
        <v>1726419.44709247</v>
      </c>
      <c r="K6">
        <v>1731343.8297872299</v>
      </c>
      <c r="L6" s="1" t="s">
        <v>5</v>
      </c>
      <c r="M6" s="2" t="s">
        <v>6</v>
      </c>
      <c r="N6">
        <v>1304487.2754491</v>
      </c>
      <c r="O6">
        <v>1310523.0654761901</v>
      </c>
      <c r="P6">
        <v>1259664.9597659099</v>
      </c>
    </row>
    <row r="7" spans="1:16" x14ac:dyDescent="0.25">
      <c r="B7" s="1" t="s">
        <v>7</v>
      </c>
      <c r="C7" s="2" t="s">
        <v>8</v>
      </c>
      <c r="D7">
        <v>1791862.4078624099</v>
      </c>
      <c r="E7">
        <v>1666083.9328537199</v>
      </c>
      <c r="F7">
        <v>1647228.12266268</v>
      </c>
      <c r="G7" s="1" t="s">
        <v>9</v>
      </c>
      <c r="H7" s="3" t="s">
        <v>10</v>
      </c>
      <c r="I7" s="4">
        <v>1741740.74074074</v>
      </c>
      <c r="J7">
        <v>1982615.52185549</v>
      </c>
      <c r="K7" s="28" t="s">
        <v>11</v>
      </c>
      <c r="L7" s="1" t="s">
        <v>12</v>
      </c>
      <c r="M7" s="3" t="s">
        <v>13</v>
      </c>
      <c r="N7">
        <v>1434639.9406087601</v>
      </c>
      <c r="O7">
        <v>1355667.1709531001</v>
      </c>
      <c r="P7">
        <v>1340185.12898331</v>
      </c>
    </row>
    <row r="8" spans="1:16" x14ac:dyDescent="0.25">
      <c r="B8" s="1" t="s">
        <v>14</v>
      </c>
      <c r="C8" s="3" t="s">
        <v>15</v>
      </c>
      <c r="D8">
        <v>1548656.42994242</v>
      </c>
      <c r="E8">
        <v>1475351.51515152</v>
      </c>
      <c r="F8">
        <v>1490758.0504786801</v>
      </c>
      <c r="G8" s="1" t="s">
        <v>16</v>
      </c>
      <c r="H8" s="2" t="s">
        <v>17</v>
      </c>
      <c r="I8" s="29" t="s">
        <v>18</v>
      </c>
      <c r="J8" s="29" t="s">
        <v>19</v>
      </c>
      <c r="K8" s="29" t="s">
        <v>20</v>
      </c>
      <c r="L8" s="1" t="s">
        <v>21</v>
      </c>
      <c r="M8" s="3" t="s">
        <v>22</v>
      </c>
      <c r="N8">
        <v>1290433.84615385</v>
      </c>
      <c r="O8">
        <v>1238608.03639121</v>
      </c>
      <c r="P8">
        <v>1466020.53231939</v>
      </c>
    </row>
    <row r="9" spans="1:16" x14ac:dyDescent="0.25">
      <c r="B9" s="1" t="s">
        <v>23</v>
      </c>
      <c r="C9" s="2" t="s">
        <v>24</v>
      </c>
      <c r="D9">
        <v>1731587.3303167401</v>
      </c>
      <c r="E9">
        <v>1576768.2563338301</v>
      </c>
      <c r="F9">
        <v>1690721.4339059</v>
      </c>
      <c r="G9" s="1" t="s">
        <v>25</v>
      </c>
      <c r="H9" s="3" t="s">
        <v>26</v>
      </c>
      <c r="I9" s="29" t="s">
        <v>27</v>
      </c>
      <c r="J9" s="29" t="s">
        <v>28</v>
      </c>
      <c r="K9" s="29" t="s">
        <v>29</v>
      </c>
      <c r="L9" s="1" t="s">
        <v>30</v>
      </c>
      <c r="M9" s="2" t="s">
        <v>31</v>
      </c>
      <c r="N9">
        <v>1569900</v>
      </c>
      <c r="O9">
        <v>1507592.8433268899</v>
      </c>
      <c r="P9">
        <v>1498859.4961240301</v>
      </c>
    </row>
    <row r="10" spans="1:16" x14ac:dyDescent="0.25">
      <c r="G10" s="1" t="s">
        <v>32</v>
      </c>
      <c r="H10" s="2" t="s">
        <v>33</v>
      </c>
      <c r="I10">
        <v>1646742.3208191099</v>
      </c>
      <c r="J10">
        <v>1626744.5887445901</v>
      </c>
      <c r="K10">
        <v>1661552.41264559</v>
      </c>
      <c r="L10" s="1" t="s">
        <v>34</v>
      </c>
      <c r="M10" s="3" t="s">
        <v>35</v>
      </c>
      <c r="N10">
        <v>1636926.3565891499</v>
      </c>
      <c r="O10">
        <v>1654344.20015163</v>
      </c>
      <c r="P10">
        <v>1502736.95976155</v>
      </c>
    </row>
    <row r="11" spans="1:16" x14ac:dyDescent="0.25">
      <c r="G11" s="1" t="s">
        <v>36</v>
      </c>
      <c r="H11" s="3" t="s">
        <v>37</v>
      </c>
      <c r="I11">
        <v>1553411.5942029001</v>
      </c>
      <c r="J11">
        <v>1242894.6963873899</v>
      </c>
      <c r="K11">
        <v>1275674.6894409901</v>
      </c>
      <c r="L11" s="1" t="s">
        <v>38</v>
      </c>
      <c r="M11" s="3" t="s">
        <v>39</v>
      </c>
      <c r="N11">
        <v>1594378.94736842</v>
      </c>
      <c r="O11">
        <v>1556198.73817035</v>
      </c>
      <c r="P11">
        <v>1591104.16666667</v>
      </c>
    </row>
    <row r="15" spans="1:16" x14ac:dyDescent="0.25">
      <c r="A15" s="5">
        <v>1913404</v>
      </c>
      <c r="B15" s="6">
        <v>2116023</v>
      </c>
      <c r="C15" s="6">
        <v>2263876</v>
      </c>
      <c r="D15" s="7">
        <v>806850</v>
      </c>
      <c r="E15" s="8">
        <v>1217165</v>
      </c>
      <c r="F15" s="9">
        <v>1712881</v>
      </c>
      <c r="G15">
        <v>625521</v>
      </c>
      <c r="H15">
        <v>2041608</v>
      </c>
      <c r="I15">
        <v>2097130</v>
      </c>
      <c r="J15" s="10">
        <v>1458576</v>
      </c>
      <c r="K15" s="11">
        <v>1389514</v>
      </c>
      <c r="L15" s="6">
        <v>2202344</v>
      </c>
      <c r="M15" s="12">
        <v>1973630</v>
      </c>
      <c r="N15" s="5">
        <v>1811014</v>
      </c>
      <c r="O15" s="12">
        <v>2034329</v>
      </c>
    </row>
    <row r="16" spans="1:16" x14ac:dyDescent="0.25">
      <c r="A16" s="13">
        <v>1.105</v>
      </c>
      <c r="B16" s="14">
        <v>1.3420000000000001</v>
      </c>
      <c r="C16" s="14">
        <v>1.339</v>
      </c>
      <c r="D16" s="15">
        <v>0.52100000000000002</v>
      </c>
      <c r="E16" s="16">
        <v>0.82499999999999996</v>
      </c>
      <c r="F16" s="13">
        <v>1.149</v>
      </c>
      <c r="G16">
        <v>0.36699999999999999</v>
      </c>
      <c r="H16">
        <v>1.25</v>
      </c>
      <c r="I16">
        <v>1.3460000000000001</v>
      </c>
      <c r="J16" s="16">
        <v>0.81399999999999995</v>
      </c>
      <c r="K16" s="16">
        <v>0.83399999999999996</v>
      </c>
      <c r="L16" s="14">
        <v>1.337</v>
      </c>
      <c r="M16" s="13">
        <v>1.1499999999999999</v>
      </c>
      <c r="N16" s="17">
        <v>1.0489999999999999</v>
      </c>
      <c r="O16" s="13">
        <v>1.175</v>
      </c>
    </row>
    <row r="17" spans="1:18" x14ac:dyDescent="0.25">
      <c r="A17">
        <f>A15/A16</f>
        <v>1731587.3303167401</v>
      </c>
      <c r="B17">
        <f>B15/B16</f>
        <v>1576768.2563338301</v>
      </c>
      <c r="C17">
        <f>C15/C16</f>
        <v>1690721.4339059</v>
      </c>
      <c r="D17">
        <f t="shared" ref="D17:F17" si="0">D15/D16</f>
        <v>1548656.42994242</v>
      </c>
      <c r="E17">
        <f t="shared" si="0"/>
        <v>1475351.51515152</v>
      </c>
      <c r="F17">
        <f t="shared" si="0"/>
        <v>1490758.0504786801</v>
      </c>
      <c r="G17">
        <f t="shared" ref="G17:O17" si="1">G15/G16</f>
        <v>1704416.8937329701</v>
      </c>
      <c r="H17">
        <f t="shared" si="1"/>
        <v>1633286.4</v>
      </c>
      <c r="I17">
        <f t="shared" si="1"/>
        <v>1558046.0624071299</v>
      </c>
      <c r="J17">
        <f t="shared" si="1"/>
        <v>1791862.4078624099</v>
      </c>
      <c r="K17">
        <f t="shared" si="1"/>
        <v>1666083.9328537199</v>
      </c>
      <c r="L17">
        <f t="shared" si="1"/>
        <v>1647228.12266268</v>
      </c>
      <c r="M17">
        <f t="shared" si="1"/>
        <v>1716200</v>
      </c>
      <c r="N17">
        <f t="shared" si="1"/>
        <v>1726419.44709247</v>
      </c>
      <c r="O17">
        <f t="shared" si="1"/>
        <v>1731343.8297872299</v>
      </c>
    </row>
    <row r="19" spans="1:18" x14ac:dyDescent="0.25">
      <c r="A19" s="5">
        <v>1834053</v>
      </c>
      <c r="B19" s="6">
        <v>2222512</v>
      </c>
      <c r="C19" s="9">
        <v>1642756</v>
      </c>
      <c r="D19" s="8">
        <v>1270980</v>
      </c>
      <c r="E19" s="11">
        <v>1303279</v>
      </c>
      <c r="F19" s="11">
        <v>1297497</v>
      </c>
      <c r="G19" s="7">
        <v>782455</v>
      </c>
      <c r="H19" s="18">
        <v>831527</v>
      </c>
      <c r="I19" s="18">
        <v>912329</v>
      </c>
      <c r="J19" s="5">
        <v>1929982</v>
      </c>
      <c r="K19" s="5">
        <v>1878890</v>
      </c>
      <c r="L19" s="12">
        <v>1997186</v>
      </c>
      <c r="M19" s="10">
        <v>1607781</v>
      </c>
      <c r="N19" s="10">
        <v>1617006</v>
      </c>
      <c r="O19" s="9">
        <v>1643069</v>
      </c>
    </row>
    <row r="20" spans="1:18" x14ac:dyDescent="0.25">
      <c r="A20" s="17">
        <v>1.0529999999999999</v>
      </c>
      <c r="B20" s="13">
        <v>1.121</v>
      </c>
      <c r="C20" s="14">
        <v>1.345</v>
      </c>
      <c r="D20" s="19">
        <v>1.23</v>
      </c>
      <c r="E20" s="19">
        <v>1.2350000000000001</v>
      </c>
      <c r="F20" s="19">
        <v>1.252</v>
      </c>
      <c r="G20" s="19">
        <v>1.1870000000000001</v>
      </c>
      <c r="H20" s="13">
        <v>1.1619999999999999</v>
      </c>
      <c r="I20" s="19">
        <v>1.2170000000000001</v>
      </c>
      <c r="J20" s="13">
        <v>1.1719999999999999</v>
      </c>
      <c r="K20" s="13">
        <v>1.155</v>
      </c>
      <c r="L20" s="19">
        <v>1.202</v>
      </c>
      <c r="M20" s="17">
        <v>1.0349999999999999</v>
      </c>
      <c r="N20" s="14">
        <v>1.3009999999999999</v>
      </c>
      <c r="O20" s="14">
        <v>1.288</v>
      </c>
    </row>
    <row r="21" spans="1:18" x14ac:dyDescent="0.25">
      <c r="A21" s="20">
        <f t="shared" ref="A21:O21" si="2">A19/A20</f>
        <v>1741740.74074074</v>
      </c>
      <c r="B21" s="20">
        <f t="shared" si="2"/>
        <v>1982615.52185549</v>
      </c>
      <c r="C21" s="20">
        <f t="shared" si="2"/>
        <v>1221379.9256505601</v>
      </c>
      <c r="D21" s="20">
        <v>1633317.0730000001</v>
      </c>
      <c r="E21" s="20">
        <v>1655286.64</v>
      </c>
      <c r="F21" s="20">
        <v>1636339.4569999999</v>
      </c>
      <c r="G21" s="20">
        <v>1659187.0260999999</v>
      </c>
      <c r="H21" s="20">
        <v>1715599.8278999999</v>
      </c>
      <c r="I21" s="20">
        <v>1749654.0674000001</v>
      </c>
      <c r="J21" s="20">
        <f t="shared" si="2"/>
        <v>1646742.3208191099</v>
      </c>
      <c r="K21" s="20">
        <f t="shared" si="2"/>
        <v>1626744.5887445901</v>
      </c>
      <c r="L21" s="20">
        <f t="shared" si="2"/>
        <v>1661552.41264559</v>
      </c>
      <c r="M21" s="20">
        <f t="shared" si="2"/>
        <v>1553411.5942029001</v>
      </c>
      <c r="N21" s="20">
        <f t="shared" si="2"/>
        <v>1242894.6963873899</v>
      </c>
      <c r="O21" s="20">
        <f t="shared" si="2"/>
        <v>1275674.6894409901</v>
      </c>
    </row>
    <row r="23" spans="1:18" x14ac:dyDescent="0.25">
      <c r="A23" s="9">
        <v>1742795</v>
      </c>
      <c r="B23" s="9">
        <v>1761343</v>
      </c>
      <c r="C23" s="9">
        <v>1721962</v>
      </c>
      <c r="D23" s="5">
        <v>1932460</v>
      </c>
      <c r="E23" s="5">
        <v>1792192</v>
      </c>
      <c r="F23" s="9">
        <v>1766364</v>
      </c>
      <c r="G23" s="9">
        <v>1677564</v>
      </c>
      <c r="H23" s="9">
        <v>1633724</v>
      </c>
      <c r="I23" s="5">
        <v>1927817</v>
      </c>
      <c r="J23" s="11">
        <v>1397211</v>
      </c>
      <c r="K23" s="10">
        <v>1558851</v>
      </c>
      <c r="L23" s="10">
        <v>1546823</v>
      </c>
      <c r="M23" s="6">
        <v>2111635</v>
      </c>
      <c r="N23" s="6">
        <v>2182080</v>
      </c>
      <c r="O23" s="12">
        <v>2016673</v>
      </c>
      <c r="P23" s="5">
        <v>1817592</v>
      </c>
      <c r="Q23" s="12">
        <v>1973260</v>
      </c>
      <c r="R23" s="5">
        <v>1909325</v>
      </c>
    </row>
    <row r="24" spans="1:18" x14ac:dyDescent="0.25">
      <c r="A24" s="14">
        <v>1.3360000000000001</v>
      </c>
      <c r="B24" s="14">
        <v>1.3440000000000001</v>
      </c>
      <c r="C24" s="14">
        <v>1.367</v>
      </c>
      <c r="D24" s="14">
        <v>1.347</v>
      </c>
      <c r="E24" s="14">
        <v>1.3220000000000001</v>
      </c>
      <c r="F24" s="14">
        <v>1.3180000000000001</v>
      </c>
      <c r="G24" s="14">
        <v>1.3</v>
      </c>
      <c r="H24" s="14">
        <v>1.319</v>
      </c>
      <c r="I24" s="14">
        <v>1.3149999999999999</v>
      </c>
      <c r="J24" s="16">
        <v>0.89</v>
      </c>
      <c r="K24" s="17">
        <v>1.034</v>
      </c>
      <c r="L24" s="17">
        <v>1.032</v>
      </c>
      <c r="M24" s="14">
        <v>1.29</v>
      </c>
      <c r="N24" s="14">
        <v>1.319</v>
      </c>
      <c r="O24" s="14">
        <v>1.3420000000000001</v>
      </c>
      <c r="P24" s="13">
        <v>1.1399999999999999</v>
      </c>
      <c r="Q24" s="19">
        <v>1.268</v>
      </c>
      <c r="R24" s="19">
        <v>1.2</v>
      </c>
    </row>
    <row r="25" spans="1:18" x14ac:dyDescent="0.25">
      <c r="A25">
        <f t="shared" ref="A25:R25" si="3">A23/A24</f>
        <v>1304487.2754491</v>
      </c>
      <c r="B25">
        <f t="shared" si="3"/>
        <v>1310523.0654761901</v>
      </c>
      <c r="C25">
        <f t="shared" si="3"/>
        <v>1259664.9597659099</v>
      </c>
      <c r="D25">
        <f t="shared" si="3"/>
        <v>1434639.9406087601</v>
      </c>
      <c r="E25">
        <f t="shared" si="3"/>
        <v>1355667.1709531001</v>
      </c>
      <c r="F25">
        <f t="shared" si="3"/>
        <v>1340185.12898331</v>
      </c>
      <c r="G25">
        <f t="shared" si="3"/>
        <v>1290433.84615385</v>
      </c>
      <c r="H25">
        <f t="shared" si="3"/>
        <v>1238608.03639121</v>
      </c>
      <c r="I25">
        <f t="shared" si="3"/>
        <v>1466020.53231939</v>
      </c>
      <c r="J25">
        <f t="shared" si="3"/>
        <v>1569900</v>
      </c>
      <c r="K25">
        <f t="shared" si="3"/>
        <v>1507592.8433268899</v>
      </c>
      <c r="L25">
        <f t="shared" si="3"/>
        <v>1498859.4961240301</v>
      </c>
      <c r="M25">
        <f t="shared" si="3"/>
        <v>1636926.3565891499</v>
      </c>
      <c r="N25">
        <f t="shared" si="3"/>
        <v>1654344.20015163</v>
      </c>
      <c r="O25">
        <f t="shared" si="3"/>
        <v>1502736.95976155</v>
      </c>
      <c r="P25">
        <f t="shared" si="3"/>
        <v>1594378.94736842</v>
      </c>
      <c r="Q25">
        <f t="shared" si="3"/>
        <v>1556198.73817035</v>
      </c>
      <c r="R25">
        <f t="shared" si="3"/>
        <v>1591104.16666667</v>
      </c>
    </row>
    <row r="27" spans="1:18" x14ac:dyDescent="0.25">
      <c r="A27" s="21">
        <v>1103005</v>
      </c>
      <c r="B27" s="8">
        <v>1282868</v>
      </c>
      <c r="C27" s="10">
        <v>1531547</v>
      </c>
      <c r="D27" s="21">
        <v>1122985</v>
      </c>
      <c r="E27" s="11">
        <v>1314783</v>
      </c>
      <c r="F27" s="8">
        <v>1180140</v>
      </c>
      <c r="G27" s="21">
        <v>1091263</v>
      </c>
      <c r="H27" s="8">
        <v>1221156</v>
      </c>
      <c r="I27" s="21">
        <v>1116521</v>
      </c>
      <c r="J27" s="8">
        <v>1196628</v>
      </c>
      <c r="K27" s="18">
        <v>928064</v>
      </c>
      <c r="L27" s="21">
        <v>1122339</v>
      </c>
      <c r="M27" s="11">
        <v>1334888</v>
      </c>
      <c r="N27" s="11">
        <v>1333926</v>
      </c>
      <c r="O27" s="11">
        <v>1377344</v>
      </c>
      <c r="P27" s="9">
        <v>1680287</v>
      </c>
      <c r="Q27" s="10">
        <v>1557584</v>
      </c>
      <c r="R27" s="11">
        <v>1397895</v>
      </c>
    </row>
    <row r="28" spans="1:18" x14ac:dyDescent="0.25">
      <c r="A28" s="16">
        <v>0.80800000000000005</v>
      </c>
      <c r="B28" s="17">
        <v>0.99399999999999999</v>
      </c>
      <c r="C28" s="19">
        <v>1.232</v>
      </c>
      <c r="D28" s="14">
        <v>1.3380000000000001</v>
      </c>
      <c r="E28" s="19">
        <v>1.2430000000000001</v>
      </c>
      <c r="F28" s="19">
        <v>1.244</v>
      </c>
      <c r="G28" s="22">
        <v>0.98299999999999998</v>
      </c>
      <c r="H28" s="13">
        <v>1.1100000000000001</v>
      </c>
      <c r="I28" s="17">
        <v>1.0229999999999999</v>
      </c>
      <c r="J28" s="19">
        <v>1.181</v>
      </c>
      <c r="K28" s="14">
        <v>1.3160000000000001</v>
      </c>
      <c r="L28" s="19">
        <v>1.2050000000000001</v>
      </c>
      <c r="M28" s="13">
        <v>1.085</v>
      </c>
      <c r="N28" s="13">
        <v>1.093</v>
      </c>
      <c r="O28" s="13">
        <v>1.1379999999999999</v>
      </c>
      <c r="P28" s="14">
        <v>1.276</v>
      </c>
      <c r="Q28" s="19">
        <v>1.2689999999999999</v>
      </c>
      <c r="R28" s="14">
        <v>1.282</v>
      </c>
    </row>
    <row r="29" spans="1:18" x14ac:dyDescent="0.25">
      <c r="A29">
        <f>A27/A28</f>
        <v>1365105.1980198</v>
      </c>
    </row>
    <row r="31" spans="1:18" x14ac:dyDescent="0.25">
      <c r="A31" s="23" t="s">
        <v>40</v>
      </c>
      <c r="B31" s="3" t="s">
        <v>4</v>
      </c>
      <c r="C31">
        <v>1716200</v>
      </c>
      <c r="D31">
        <v>1726419.44709247</v>
      </c>
      <c r="E31">
        <v>1731343.8297872299</v>
      </c>
      <c r="F31" s="1" t="s">
        <v>41</v>
      </c>
      <c r="G31" s="3" t="s">
        <v>42</v>
      </c>
      <c r="H31">
        <v>1365105.1980198</v>
      </c>
      <c r="I31">
        <v>1290611.67002012</v>
      </c>
      <c r="J31">
        <v>1243138.7987013001</v>
      </c>
      <c r="K31" s="1" t="s">
        <v>43</v>
      </c>
      <c r="L31" s="3" t="s">
        <v>44</v>
      </c>
      <c r="M31">
        <v>672587.77292576397</v>
      </c>
      <c r="N31">
        <v>570199.34102141706</v>
      </c>
      <c r="O31">
        <v>567106.31229235895</v>
      </c>
    </row>
    <row r="32" spans="1:18" x14ac:dyDescent="0.25">
      <c r="A32" s="1" t="s">
        <v>9</v>
      </c>
      <c r="B32" s="3" t="s">
        <v>10</v>
      </c>
      <c r="C32">
        <v>1741740.74074074</v>
      </c>
      <c r="D32">
        <v>1982615.52185549</v>
      </c>
      <c r="E32">
        <v>1221379.9256505601</v>
      </c>
      <c r="F32" s="1" t="s">
        <v>45</v>
      </c>
      <c r="G32" s="3" t="s">
        <v>46</v>
      </c>
      <c r="H32">
        <v>839301.19581464899</v>
      </c>
      <c r="I32">
        <v>1057749.79887369</v>
      </c>
      <c r="J32">
        <v>948665.59485530597</v>
      </c>
      <c r="K32" s="1" t="s">
        <v>47</v>
      </c>
      <c r="L32" s="3" t="s">
        <v>48</v>
      </c>
      <c r="M32">
        <v>1261099.9187652301</v>
      </c>
      <c r="N32">
        <v>1187137.8751013801</v>
      </c>
      <c r="O32">
        <v>1129717.92763158</v>
      </c>
    </row>
    <row r="33" spans="1:18" x14ac:dyDescent="0.25">
      <c r="A33" s="1" t="s">
        <v>16</v>
      </c>
      <c r="B33" s="2" t="s">
        <v>17</v>
      </c>
      <c r="C33">
        <v>1033317.07317073</v>
      </c>
      <c r="D33">
        <v>1055286.6396761099</v>
      </c>
      <c r="E33">
        <v>1036339.45686901</v>
      </c>
      <c r="F33" s="1" t="s">
        <v>49</v>
      </c>
      <c r="G33" s="3" t="s">
        <v>50</v>
      </c>
      <c r="H33">
        <v>1110135.30010173</v>
      </c>
      <c r="I33">
        <v>1100140.5405405399</v>
      </c>
      <c r="J33">
        <v>1091418.3773216</v>
      </c>
      <c r="K33" s="1" t="s">
        <v>51</v>
      </c>
      <c r="L33" s="3" t="s">
        <v>52</v>
      </c>
      <c r="M33">
        <v>1275887.2506504799</v>
      </c>
      <c r="N33">
        <v>1151932.61231281</v>
      </c>
      <c r="O33">
        <v>1235440.5172413799</v>
      </c>
    </row>
    <row r="34" spans="1:18" x14ac:dyDescent="0.25">
      <c r="A34" s="1" t="s">
        <v>25</v>
      </c>
      <c r="B34" s="3" t="s">
        <v>26</v>
      </c>
      <c r="C34">
        <v>659187.02611625905</v>
      </c>
      <c r="D34">
        <v>715599.82788295997</v>
      </c>
      <c r="E34">
        <v>749654.06737880001</v>
      </c>
      <c r="F34" s="1" t="s">
        <v>53</v>
      </c>
      <c r="G34" s="23" t="s">
        <v>54</v>
      </c>
      <c r="H34">
        <v>1013232.85351397</v>
      </c>
      <c r="I34">
        <v>705215.80547112494</v>
      </c>
      <c r="J34">
        <v>931401.65975103702</v>
      </c>
      <c r="K34" s="1" t="s">
        <v>55</v>
      </c>
      <c r="L34" s="3" t="s">
        <v>56</v>
      </c>
      <c r="M34">
        <v>379504.95049505</v>
      </c>
      <c r="N34">
        <v>344114.41048034898</v>
      </c>
      <c r="O34">
        <v>322880.93183779099</v>
      </c>
    </row>
    <row r="35" spans="1:18" x14ac:dyDescent="0.25">
      <c r="A35" s="1" t="s">
        <v>32</v>
      </c>
      <c r="B35" s="2" t="s">
        <v>33</v>
      </c>
      <c r="C35">
        <v>1646742.3208191099</v>
      </c>
      <c r="D35">
        <v>1626744.5887445901</v>
      </c>
      <c r="E35">
        <v>1661552.41264559</v>
      </c>
      <c r="F35" s="1" t="s">
        <v>57</v>
      </c>
      <c r="G35" s="3" t="s">
        <v>58</v>
      </c>
      <c r="H35">
        <v>1230311.52073733</v>
      </c>
      <c r="I35">
        <v>1220426.3494968</v>
      </c>
      <c r="J35">
        <v>1210319.85940246</v>
      </c>
      <c r="K35" s="1" t="s">
        <v>59</v>
      </c>
      <c r="L35" s="3" t="s">
        <v>60</v>
      </c>
      <c r="M35">
        <v>182248.92703862701</v>
      </c>
      <c r="N35">
        <v>150237.86793953899</v>
      </c>
      <c r="O35">
        <v>184478.82454624001</v>
      </c>
    </row>
    <row r="36" spans="1:18" x14ac:dyDescent="0.25">
      <c r="A36" s="1" t="s">
        <v>36</v>
      </c>
      <c r="B36" s="3" t="s">
        <v>37</v>
      </c>
      <c r="C36">
        <v>1553411.5942029001</v>
      </c>
      <c r="D36">
        <v>1242894.6963873899</v>
      </c>
      <c r="E36">
        <v>1275674.6894409901</v>
      </c>
      <c r="F36" s="1" t="s">
        <v>61</v>
      </c>
      <c r="G36" s="3" t="s">
        <v>62</v>
      </c>
      <c r="H36">
        <v>1316839.3416927899</v>
      </c>
      <c r="I36">
        <v>1227410.55949567</v>
      </c>
      <c r="J36">
        <v>1090401.7160686399</v>
      </c>
      <c r="K36" s="1" t="s">
        <v>63</v>
      </c>
      <c r="L36" s="3" t="s">
        <v>64</v>
      </c>
      <c r="M36">
        <v>1073627.9069767401</v>
      </c>
      <c r="N36">
        <v>1114856.3411896699</v>
      </c>
      <c r="O36">
        <v>1094718.91891892</v>
      </c>
    </row>
    <row r="38" spans="1:18" x14ac:dyDescent="0.25">
      <c r="A38" s="21">
        <v>1103005</v>
      </c>
      <c r="B38" s="8">
        <v>1282868</v>
      </c>
      <c r="C38" s="10">
        <v>1531547</v>
      </c>
      <c r="D38" s="21">
        <v>1122985</v>
      </c>
      <c r="E38" s="11">
        <v>1314783</v>
      </c>
      <c r="F38" s="8">
        <v>1180140</v>
      </c>
      <c r="G38" s="21">
        <v>1091263</v>
      </c>
      <c r="H38" s="8">
        <v>1221156</v>
      </c>
      <c r="I38" s="21">
        <v>1116521</v>
      </c>
      <c r="J38" s="8">
        <v>1196628</v>
      </c>
      <c r="K38" s="18">
        <v>928064</v>
      </c>
      <c r="L38" s="21">
        <v>1122339</v>
      </c>
      <c r="M38" s="11">
        <v>1334888</v>
      </c>
      <c r="N38" s="11">
        <v>1333926</v>
      </c>
      <c r="O38" s="11">
        <v>1377344</v>
      </c>
      <c r="P38" s="9">
        <v>1680287</v>
      </c>
      <c r="Q38" s="10">
        <v>1557584</v>
      </c>
      <c r="R38" s="11">
        <v>1397895</v>
      </c>
    </row>
    <row r="39" spans="1:18" x14ac:dyDescent="0.25">
      <c r="A39" s="16">
        <v>0.80800000000000005</v>
      </c>
      <c r="B39" s="17">
        <v>0.99399999999999999</v>
      </c>
      <c r="C39" s="19">
        <v>1.232</v>
      </c>
      <c r="D39" s="14">
        <v>1.3380000000000001</v>
      </c>
      <c r="E39" s="19">
        <v>1.2430000000000001</v>
      </c>
      <c r="F39" s="19">
        <v>1.244</v>
      </c>
      <c r="G39" s="22">
        <v>0.98299999999999998</v>
      </c>
      <c r="H39" s="13">
        <v>1.1100000000000001</v>
      </c>
      <c r="I39" s="17">
        <v>1.0229999999999999</v>
      </c>
      <c r="J39" s="19">
        <v>1.181</v>
      </c>
      <c r="K39" s="14">
        <v>1.3160000000000001</v>
      </c>
      <c r="L39" s="19">
        <v>1.2050000000000001</v>
      </c>
      <c r="M39" s="13">
        <v>1.085</v>
      </c>
      <c r="N39" s="13">
        <v>1.093</v>
      </c>
      <c r="O39" s="13">
        <v>1.1379999999999999</v>
      </c>
      <c r="P39" s="14">
        <v>1.276</v>
      </c>
      <c r="Q39" s="19">
        <v>1.2689999999999999</v>
      </c>
      <c r="R39" s="14">
        <v>1.282</v>
      </c>
    </row>
    <row r="40" spans="1:18" x14ac:dyDescent="0.25">
      <c r="A40">
        <f t="shared" ref="A40:R40" si="4">A38/A39</f>
        <v>1365105.1980198</v>
      </c>
      <c r="B40">
        <f t="shared" si="4"/>
        <v>1290611.67002012</v>
      </c>
      <c r="C40">
        <f t="shared" si="4"/>
        <v>1243138.7987013001</v>
      </c>
      <c r="D40">
        <f t="shared" si="4"/>
        <v>839301.19581464899</v>
      </c>
      <c r="E40">
        <f t="shared" si="4"/>
        <v>1057749.79887369</v>
      </c>
      <c r="F40">
        <f t="shared" si="4"/>
        <v>948665.59485530597</v>
      </c>
      <c r="G40">
        <f t="shared" si="4"/>
        <v>1110135.30010173</v>
      </c>
      <c r="H40">
        <f t="shared" si="4"/>
        <v>1100140.5405405399</v>
      </c>
      <c r="I40">
        <f t="shared" si="4"/>
        <v>1091418.3773216</v>
      </c>
      <c r="J40">
        <f t="shared" si="4"/>
        <v>1013232.85351397</v>
      </c>
      <c r="K40">
        <f t="shared" si="4"/>
        <v>705215.80547112494</v>
      </c>
      <c r="L40">
        <f t="shared" si="4"/>
        <v>931401.65975103702</v>
      </c>
      <c r="M40">
        <f t="shared" si="4"/>
        <v>1230311.52073733</v>
      </c>
      <c r="N40">
        <f t="shared" si="4"/>
        <v>1220426.3494968</v>
      </c>
      <c r="O40">
        <f t="shared" si="4"/>
        <v>1210319.85940246</v>
      </c>
      <c r="P40">
        <f t="shared" si="4"/>
        <v>1316839.3416927899</v>
      </c>
      <c r="Q40">
        <f t="shared" si="4"/>
        <v>1227410.55949567</v>
      </c>
      <c r="R40">
        <f t="shared" si="4"/>
        <v>1090401.7160686399</v>
      </c>
    </row>
    <row r="42" spans="1:18" x14ac:dyDescent="0.25">
      <c r="A42" s="7">
        <v>770113</v>
      </c>
      <c r="B42" s="7">
        <v>692222</v>
      </c>
      <c r="C42" s="7">
        <v>682796</v>
      </c>
      <c r="D42" s="10">
        <v>1552414</v>
      </c>
      <c r="E42" s="10">
        <v>1463741</v>
      </c>
      <c r="F42" s="11">
        <v>1373737</v>
      </c>
      <c r="G42" s="10">
        <v>1471098</v>
      </c>
      <c r="H42" s="11">
        <v>1384623</v>
      </c>
      <c r="I42" s="11">
        <v>1433111</v>
      </c>
      <c r="J42" s="24">
        <v>421630</v>
      </c>
      <c r="K42" s="24">
        <v>394011</v>
      </c>
      <c r="L42" s="24">
        <v>374219</v>
      </c>
      <c r="M42" s="25">
        <v>212320</v>
      </c>
      <c r="N42" s="25">
        <v>188849</v>
      </c>
      <c r="O42" s="25">
        <v>213442</v>
      </c>
      <c r="P42" s="26">
        <v>923320</v>
      </c>
      <c r="Q42" s="21">
        <v>993337</v>
      </c>
      <c r="R42" s="26">
        <v>810092</v>
      </c>
    </row>
    <row r="43" spans="1:18" x14ac:dyDescent="0.25">
      <c r="A43" s="13">
        <v>1.145</v>
      </c>
      <c r="B43" s="19">
        <v>1.214</v>
      </c>
      <c r="C43" s="19">
        <v>1.204</v>
      </c>
      <c r="D43" s="19">
        <v>1.2310000000000001</v>
      </c>
      <c r="E43" s="19">
        <v>1.2330000000000001</v>
      </c>
      <c r="F43" s="19">
        <v>1.216</v>
      </c>
      <c r="G43" s="13">
        <v>1.153</v>
      </c>
      <c r="H43" s="19">
        <v>1.202</v>
      </c>
      <c r="I43" s="13">
        <v>1.1599999999999999</v>
      </c>
      <c r="J43" s="13">
        <v>1.111</v>
      </c>
      <c r="K43" s="13">
        <v>1.145</v>
      </c>
      <c r="L43" s="13">
        <v>1.159</v>
      </c>
      <c r="M43" s="13">
        <v>1.165</v>
      </c>
      <c r="N43" s="19">
        <v>1.2569999999999999</v>
      </c>
      <c r="O43" s="13">
        <v>1.157</v>
      </c>
      <c r="P43" s="27">
        <v>0.86</v>
      </c>
      <c r="Q43" s="16">
        <v>0.89100000000000001</v>
      </c>
      <c r="R43" s="27">
        <v>0.74</v>
      </c>
    </row>
    <row r="44" spans="1:18" x14ac:dyDescent="0.25">
      <c r="A44">
        <f t="shared" ref="A44:R44" si="5">A42/A43</f>
        <v>672587.77292576397</v>
      </c>
      <c r="B44">
        <f t="shared" si="5"/>
        <v>570199.34102141706</v>
      </c>
      <c r="C44">
        <f t="shared" si="5"/>
        <v>567106.31229235895</v>
      </c>
      <c r="D44">
        <f t="shared" si="5"/>
        <v>1261099.9187652301</v>
      </c>
      <c r="E44">
        <f t="shared" si="5"/>
        <v>1187137.8751013801</v>
      </c>
      <c r="F44">
        <f t="shared" si="5"/>
        <v>1129717.92763158</v>
      </c>
      <c r="G44">
        <f t="shared" si="5"/>
        <v>1275887.2506504799</v>
      </c>
      <c r="H44">
        <f t="shared" si="5"/>
        <v>1151932.61231281</v>
      </c>
      <c r="I44">
        <f t="shared" si="5"/>
        <v>1235440.5172413799</v>
      </c>
      <c r="J44">
        <f t="shared" si="5"/>
        <v>379504.95049505</v>
      </c>
      <c r="K44">
        <f t="shared" si="5"/>
        <v>344114.41048034898</v>
      </c>
      <c r="L44">
        <f t="shared" si="5"/>
        <v>322880.93183779099</v>
      </c>
      <c r="M44">
        <f t="shared" si="5"/>
        <v>182248.92703862701</v>
      </c>
      <c r="N44">
        <f t="shared" si="5"/>
        <v>150237.86793953899</v>
      </c>
      <c r="O44">
        <f t="shared" si="5"/>
        <v>184478.82454624001</v>
      </c>
      <c r="P44">
        <f t="shared" si="5"/>
        <v>1073627.9069767401</v>
      </c>
      <c r="Q44">
        <f t="shared" si="5"/>
        <v>1114856.3411896699</v>
      </c>
      <c r="R44">
        <f t="shared" si="5"/>
        <v>1094718.91891892</v>
      </c>
    </row>
    <row r="46" spans="1:18" x14ac:dyDescent="0.25">
      <c r="B46" s="1" t="s">
        <v>1</v>
      </c>
      <c r="C46">
        <v>2041608</v>
      </c>
      <c r="D46">
        <v>1.25</v>
      </c>
      <c r="E46">
        <v>1704416.8937329701</v>
      </c>
      <c r="G46" s="1" t="s">
        <v>3</v>
      </c>
      <c r="H46">
        <v>1973630</v>
      </c>
      <c r="I46">
        <v>1.1499999999999999</v>
      </c>
      <c r="J46">
        <v>1716200</v>
      </c>
      <c r="K46" s="23" t="s">
        <v>40</v>
      </c>
      <c r="L46">
        <v>1973630</v>
      </c>
      <c r="M46">
        <v>1.1499999999999999</v>
      </c>
      <c r="N46">
        <v>1716200</v>
      </c>
      <c r="O46" s="30" t="s">
        <v>66</v>
      </c>
      <c r="P46">
        <v>63247.9</v>
      </c>
      <c r="Q46">
        <v>1.29</v>
      </c>
      <c r="R46">
        <v>49029.4</v>
      </c>
    </row>
    <row r="47" spans="1:18" x14ac:dyDescent="0.25">
      <c r="B47" s="1" t="s">
        <v>7</v>
      </c>
      <c r="C47">
        <v>1458576</v>
      </c>
      <c r="D47">
        <v>0.81399999999999995</v>
      </c>
      <c r="E47">
        <v>1791862.4078624099</v>
      </c>
      <c r="G47" s="1" t="s">
        <v>9</v>
      </c>
      <c r="H47">
        <v>1834053</v>
      </c>
      <c r="I47">
        <v>1.0529999999999999</v>
      </c>
      <c r="J47">
        <v>1741740.74074074</v>
      </c>
      <c r="K47" s="1" t="s">
        <v>9</v>
      </c>
      <c r="L47">
        <v>1834053</v>
      </c>
      <c r="M47">
        <v>1.0529999999999999</v>
      </c>
      <c r="N47">
        <v>1741740.74074074</v>
      </c>
      <c r="O47" s="30" t="s">
        <v>67</v>
      </c>
      <c r="P47">
        <v>60312.4</v>
      </c>
      <c r="Q47">
        <v>1.1000000000000001</v>
      </c>
      <c r="R47">
        <v>54829.45</v>
      </c>
    </row>
    <row r="48" spans="1:18" x14ac:dyDescent="0.25">
      <c r="B48" s="1" t="s">
        <v>14</v>
      </c>
      <c r="C48">
        <v>806850</v>
      </c>
      <c r="D48">
        <v>0.52100000000000002</v>
      </c>
      <c r="E48">
        <v>1548656.42994242</v>
      </c>
      <c r="G48" s="1" t="s">
        <v>16</v>
      </c>
      <c r="H48">
        <v>1270980</v>
      </c>
      <c r="I48">
        <v>1.23</v>
      </c>
      <c r="J48">
        <v>1033317.07317073</v>
      </c>
      <c r="K48" s="1" t="s">
        <v>16</v>
      </c>
      <c r="L48">
        <v>1270980</v>
      </c>
      <c r="M48">
        <v>1.23</v>
      </c>
      <c r="N48">
        <v>1033317.07317073</v>
      </c>
    </row>
    <row r="49" spans="2:14" x14ac:dyDescent="0.25">
      <c r="B49" s="1" t="s">
        <v>23</v>
      </c>
      <c r="C49">
        <v>1913404</v>
      </c>
      <c r="D49">
        <v>1.105</v>
      </c>
      <c r="E49">
        <v>1731587.3303167401</v>
      </c>
      <c r="G49" s="1" t="s">
        <v>25</v>
      </c>
      <c r="H49">
        <v>782455</v>
      </c>
      <c r="I49">
        <v>1.1870000000000001</v>
      </c>
      <c r="J49">
        <v>659187.02611625905</v>
      </c>
      <c r="K49" s="1" t="s">
        <v>25</v>
      </c>
      <c r="L49">
        <v>782455</v>
      </c>
      <c r="M49">
        <v>1.1870000000000001</v>
      </c>
      <c r="N49">
        <v>659187.02611625905</v>
      </c>
    </row>
    <row r="50" spans="2:14" x14ac:dyDescent="0.25">
      <c r="B50" t="s">
        <v>5</v>
      </c>
      <c r="C50">
        <v>1742795</v>
      </c>
      <c r="D50">
        <v>1.3360000000000001</v>
      </c>
      <c r="E50">
        <v>1304487.2754491</v>
      </c>
      <c r="G50" s="1" t="s">
        <v>32</v>
      </c>
      <c r="H50">
        <v>1929982</v>
      </c>
      <c r="I50">
        <v>1.1719999999999999</v>
      </c>
      <c r="J50">
        <v>1646742.3208191099</v>
      </c>
      <c r="K50" s="1" t="s">
        <v>32</v>
      </c>
      <c r="L50">
        <v>1929982</v>
      </c>
      <c r="M50">
        <v>1.1719999999999999</v>
      </c>
      <c r="N50">
        <v>1646742.3208191099</v>
      </c>
    </row>
    <row r="51" spans="2:14" x14ac:dyDescent="0.25">
      <c r="B51" t="s">
        <v>12</v>
      </c>
      <c r="C51">
        <v>1932460</v>
      </c>
      <c r="D51">
        <v>1.347</v>
      </c>
      <c r="E51">
        <v>1434639.9406087601</v>
      </c>
      <c r="G51" s="1" t="s">
        <v>36</v>
      </c>
      <c r="H51">
        <v>1607781</v>
      </c>
      <c r="I51">
        <v>1.0349999999999999</v>
      </c>
      <c r="J51">
        <v>1553411.5942029001</v>
      </c>
      <c r="K51" s="1" t="s">
        <v>36</v>
      </c>
      <c r="L51">
        <v>1607781</v>
      </c>
      <c r="M51">
        <v>1.0349999999999999</v>
      </c>
      <c r="N51">
        <v>1553411.5942029001</v>
      </c>
    </row>
    <row r="52" spans="2:14" x14ac:dyDescent="0.25">
      <c r="B52" t="s">
        <v>21</v>
      </c>
      <c r="C52">
        <v>1677564</v>
      </c>
      <c r="D52">
        <v>1.3</v>
      </c>
      <c r="E52">
        <v>1290433.84615385</v>
      </c>
      <c r="G52" s="1" t="s">
        <v>43</v>
      </c>
      <c r="H52">
        <v>770113</v>
      </c>
      <c r="I52">
        <v>1.145</v>
      </c>
      <c r="J52">
        <v>672587.77292576397</v>
      </c>
      <c r="K52" s="1" t="s">
        <v>41</v>
      </c>
      <c r="L52">
        <v>1103005</v>
      </c>
      <c r="M52">
        <v>0.80800000000000005</v>
      </c>
      <c r="N52">
        <v>1365105.1980198</v>
      </c>
    </row>
    <row r="53" spans="2:14" x14ac:dyDescent="0.25">
      <c r="B53" t="s">
        <v>30</v>
      </c>
      <c r="C53">
        <v>1397211</v>
      </c>
      <c r="D53">
        <v>0.89</v>
      </c>
      <c r="E53">
        <v>1569900</v>
      </c>
      <c r="G53" s="1" t="s">
        <v>47</v>
      </c>
      <c r="H53">
        <v>1552414</v>
      </c>
      <c r="I53">
        <v>1.2310000000000001</v>
      </c>
      <c r="J53">
        <v>1261099.9187652301</v>
      </c>
      <c r="K53" s="1" t="s">
        <v>45</v>
      </c>
      <c r="L53">
        <v>1122985</v>
      </c>
      <c r="M53">
        <v>1.3380000000000001</v>
      </c>
      <c r="N53">
        <v>839301.19581464899</v>
      </c>
    </row>
    <row r="54" spans="2:14" x14ac:dyDescent="0.25">
      <c r="B54" t="s">
        <v>34</v>
      </c>
      <c r="C54">
        <v>2111635</v>
      </c>
      <c r="D54">
        <v>1.29</v>
      </c>
      <c r="E54">
        <v>1636926.3565891499</v>
      </c>
      <c r="G54" s="1" t="s">
        <v>51</v>
      </c>
      <c r="H54">
        <v>1471098</v>
      </c>
      <c r="I54">
        <v>1.153</v>
      </c>
      <c r="J54">
        <v>1275887.2506504799</v>
      </c>
      <c r="K54" s="1" t="s">
        <v>49</v>
      </c>
      <c r="L54">
        <v>1091263</v>
      </c>
      <c r="M54">
        <v>0.98299999999999998</v>
      </c>
      <c r="N54">
        <v>1110135.30010173</v>
      </c>
    </row>
    <row r="55" spans="2:14" x14ac:dyDescent="0.25">
      <c r="B55" t="s">
        <v>38</v>
      </c>
      <c r="C55">
        <v>1817592</v>
      </c>
      <c r="D55">
        <v>1.1399999999999999</v>
      </c>
      <c r="E55">
        <v>1594378.94736842</v>
      </c>
      <c r="G55" s="1" t="s">
        <v>55</v>
      </c>
      <c r="H55">
        <v>421630</v>
      </c>
      <c r="I55">
        <v>1.111</v>
      </c>
      <c r="J55">
        <v>379504.95049505</v>
      </c>
      <c r="K55" s="1" t="s">
        <v>53</v>
      </c>
      <c r="L55">
        <v>1196628</v>
      </c>
      <c r="M55">
        <v>1.181</v>
      </c>
      <c r="N55">
        <v>1013232.85351397</v>
      </c>
    </row>
    <row r="56" spans="2:14" x14ac:dyDescent="0.25">
      <c r="B56" t="s">
        <v>65</v>
      </c>
      <c r="C56">
        <v>190357</v>
      </c>
      <c r="D56">
        <v>1.1399999999999999</v>
      </c>
      <c r="E56">
        <v>166979.79999999999</v>
      </c>
      <c r="G56" s="1" t="s">
        <v>59</v>
      </c>
      <c r="H56">
        <v>212320</v>
      </c>
      <c r="I56">
        <v>1.165</v>
      </c>
      <c r="J56">
        <v>182248.92703862701</v>
      </c>
      <c r="K56" s="1" t="s">
        <v>57</v>
      </c>
      <c r="L56">
        <v>1334888</v>
      </c>
      <c r="M56">
        <v>1.085</v>
      </c>
      <c r="N56">
        <v>1230311.52073733</v>
      </c>
    </row>
    <row r="57" spans="2:14" x14ac:dyDescent="0.25">
      <c r="B57" t="s">
        <v>3</v>
      </c>
      <c r="C57">
        <v>1973630</v>
      </c>
      <c r="D57">
        <v>1.1499999999999999</v>
      </c>
      <c r="E57">
        <v>1716200</v>
      </c>
      <c r="G57" s="1" t="s">
        <v>63</v>
      </c>
      <c r="H57">
        <v>923320</v>
      </c>
      <c r="I57">
        <v>0.86</v>
      </c>
      <c r="J57">
        <v>1073627.9069767401</v>
      </c>
      <c r="K57" s="1" t="s">
        <v>61</v>
      </c>
      <c r="L57">
        <v>1680287</v>
      </c>
      <c r="M57">
        <v>1.276</v>
      </c>
      <c r="N57">
        <v>1316839.3416927899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张煜焓</dc:creator>
  <cp:lastModifiedBy>admin</cp:lastModifiedBy>
  <dcterms:created xsi:type="dcterms:W3CDTF">2023-05-12T11:15:00Z</dcterms:created>
  <dcterms:modified xsi:type="dcterms:W3CDTF">2026-10-08T03:10:08Z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F89FC70C31AD48E2973511A971B9BBE7_13</vt:lpwstr>
  </property>
  <property fmtid="{D5CDD505-2E9C-101B-9397-08002B2CF9AE}" pid="4" name="CalculationRule">
    <vt:i4>0</vt:i4>
  </property>
</Properties>
</file>